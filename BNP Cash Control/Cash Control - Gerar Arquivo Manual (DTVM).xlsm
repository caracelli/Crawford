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48e2ec4c6398a96/Backup Note/Projetos/Antlia/BNP Cash Control/"/>
    </mc:Choice>
  </mc:AlternateContent>
  <xr:revisionPtr revIDLastSave="708" documentId="8_{21FE1EAC-A304-49E9-A478-E27EE77B39A4}" xr6:coauthVersionLast="47" xr6:coauthVersionMax="47" xr10:uidLastSave="{6C731A2C-1447-4BB8-896A-B6AB810D1471}"/>
  <bookViews>
    <workbookView xWindow="-120" yWindow="-120" windowWidth="24240" windowHeight="13020" xr2:uid="{21A85B9B-08EF-40A4-83E2-F7F7956DB5BA}"/>
  </bookViews>
  <sheets>
    <sheet name="Geral" sheetId="1" r:id="rId1"/>
    <sheet name="TED DE CORRETORA" sheetId="3" r:id="rId2"/>
    <sheet name="ACCOUNT MANAGEMENT" sheetId="4" r:id="rId3"/>
    <sheet name="CAMBIO BNP" sheetId="5" r:id="rId4"/>
    <sheet name="EVENTOS CORPORATIVOS" sheetId="6" r:id="rId5"/>
    <sheet name="Categorias e Sub" sheetId="2" state="hidden" r:id="rId6"/>
  </sheets>
  <functionGroups builtInGroupCount="19"/>
  <definedNames>
    <definedName name="Conta_DTVM">Geral!$L$2</definedName>
    <definedName name="Pasta_Saida">Geral!$L$1</definedName>
    <definedName name="Título_saída">'Categorias e Sub'!$E$4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2" i="1"/>
  <c r="C3" i="6"/>
  <c r="C3" i="5"/>
  <c r="C3" i="4"/>
  <c r="C3" i="3"/>
  <c r="E4" i="2"/>
</calcChain>
</file>

<file path=xl/sharedStrings.xml><?xml version="1.0" encoding="utf-8"?>
<sst xmlns="http://schemas.openxmlformats.org/spreadsheetml/2006/main" count="568" uniqueCount="48">
  <si>
    <t>ID Único</t>
  </si>
  <si>
    <t>Data</t>
  </si>
  <si>
    <t>Conta</t>
  </si>
  <si>
    <t>Categoria</t>
  </si>
  <si>
    <t>Subcategoria</t>
  </si>
  <si>
    <t>Ação (A, M ou D)</t>
  </si>
  <si>
    <t>Valor</t>
  </si>
  <si>
    <t>Crédito ou Débito</t>
  </si>
  <si>
    <t>Script</t>
  </si>
  <si>
    <t>2026-02-04</t>
  </si>
  <si>
    <t>RENDA FIXA MANUAL</t>
  </si>
  <si>
    <t>A</t>
  </si>
  <si>
    <t>C</t>
  </si>
  <si>
    <t>TED DE CORRETORA</t>
  </si>
  <si>
    <t>EVENTOS CORPORATIVOS</t>
  </si>
  <si>
    <t>CAMBIO BNP</t>
  </si>
  <si>
    <t>CAMBIO TERCEIROS</t>
  </si>
  <si>
    <t>D</t>
  </si>
  <si>
    <t>DERIVATIVOS</t>
  </si>
  <si>
    <t>FUNDOS BNP</t>
  </si>
  <si>
    <t>Pasta de saída (robô TFLM)</t>
  </si>
  <si>
    <t>C:\Users\user\OneDrive\Backup Note\Projetos\Antlia\BNP Cash Control\saida</t>
  </si>
  <si>
    <t>Cash-account DTVM</t>
  </si>
  <si>
    <t>Título</t>
  </si>
  <si>
    <t>Título saída:</t>
  </si>
  <si>
    <t>Importação</t>
  </si>
  <si>
    <t>Pasta padrão</t>
  </si>
  <si>
    <t>Padrão do arquivo</t>
  </si>
  <si>
    <t>Rotina</t>
  </si>
  <si>
    <t>C:\Users\user\OneDrive\Backup Note\Projetos\Antlia\BNP Cash Control\entrada</t>
  </si>
  <si>
    <t>01 - ACETP_Clearing_CAIXA*.xls*</t>
  </si>
  <si>
    <t>TED</t>
  </si>
  <si>
    <t>ACCOUNT MANAGEMENT</t>
  </si>
  <si>
    <t>*_01.xls*</t>
  </si>
  <si>
    <t>ACCOUNT</t>
  </si>
  <si>
    <t>Fechamentos BP2S_COACS_*.xls*</t>
  </si>
  <si>
    <t>CAMBIO</t>
  </si>
  <si>
    <t>Eventos AceTP*.xls*</t>
  </si>
  <si>
    <t>EVENTOS</t>
  </si>
  <si>
    <t>Pasta padrão:</t>
  </si>
  <si>
    <t>Arquivo importado:</t>
  </si>
  <si>
    <t>C:\Users\user\OneDrive\Backup Note\Projetos\Antlia\BNP Cash Control\entrada\Eventos AceTP.xls</t>
  </si>
  <si>
    <t>2026-08-17</t>
  </si>
  <si>
    <t>C:\Users\user\OneDrive\Backup Note\Projetos\Antlia\BNP Cash Control\entrada\Fechamentos BP2S_COACS_180826.xlsx</t>
  </si>
  <si>
    <t>2026-08-18</t>
  </si>
  <si>
    <t>C:\Users\user\OneDrive\Backup Note\Projetos\Antlia\BNP Cash Control\entrada\18082026_01.xlsx</t>
  </si>
  <si>
    <t>TBD</t>
  </si>
  <si>
    <t>C:\Users\user\OneDrive\Backup Note\Projetos\Antlia\BNP Cash Control\entrada\01 - ACETP_Clearing_CAIXA 18-08-2026.xlsx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</si>
</sst>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4"/>
      <color rgb="FF548235"/>
      <name val="Aptos Narrow"/>
      <family val="2"/>
      <scheme val="minor"/>
    </font>
    <font>
      <b/>
      <sz val="11"/>
      <color rgb="FF595959"/>
      <name val="Aptos Narrow"/>
      <family val="2"/>
      <scheme val="minor"/>
    </font>
    <font>
      <sz val="11"/>
      <color rgb="FF595959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54823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49" fontId="0" fillId="0" borderId="0" xfId="0" applyNumberFormat="1"/>
    <xf numFmtId="0" fontId="0" fillId="3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/>
    </xf>
    <xf numFmtId="0" fontId="0" fillId="0" borderId="0" xfId="0" applyFill="1"/>
    <xf numFmtId="49" fontId="0" fillId="0" borderId="0" xfId="0" applyNumberFormat="1" applyFill="1"/>
    <xf numFmtId="0" fontId="0" fillId="4" borderId="0" xfId="0" applyFill="1"/>
    <xf numFmtId="49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3</xdr:row>
          <xdr:rowOff>0</xdr:rowOff>
        </xdr:from>
        <xdr:to>
          <xdr:col>10</xdr:col>
          <xdr:colOff>1200150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38100</xdr:rowOff>
        </xdr:from>
        <xdr:to>
          <xdr:col>1</xdr:col>
          <xdr:colOff>581025</xdr:colOff>
          <xdr:row>1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1</xdr:row>
          <xdr:rowOff>38100</xdr:rowOff>
        </xdr:from>
        <xdr:to>
          <xdr:col>3</xdr:col>
          <xdr:colOff>323850</xdr:colOff>
          <xdr:row>1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</xdr:row>
          <xdr:rowOff>38100</xdr:rowOff>
        </xdr:from>
        <xdr:to>
          <xdr:col>4</xdr:col>
          <xdr:colOff>47625</xdr:colOff>
          <xdr:row>1</xdr:row>
          <xdr:rowOff>342900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38100</xdr:rowOff>
        </xdr:from>
        <xdr:to>
          <xdr:col>1</xdr:col>
          <xdr:colOff>581025</xdr:colOff>
          <xdr:row>1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1</xdr:row>
          <xdr:rowOff>38100</xdr:rowOff>
        </xdr:from>
        <xdr:to>
          <xdr:col>3</xdr:col>
          <xdr:colOff>323850</xdr:colOff>
          <xdr:row>1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</xdr:row>
          <xdr:rowOff>38100</xdr:rowOff>
        </xdr:from>
        <xdr:to>
          <xdr:col>4</xdr:col>
          <xdr:colOff>47625</xdr:colOff>
          <xdr:row>1</xdr:row>
          <xdr:rowOff>342900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38100</xdr:rowOff>
        </xdr:from>
        <xdr:to>
          <xdr:col>1</xdr:col>
          <xdr:colOff>581025</xdr:colOff>
          <xdr:row>1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1</xdr:row>
          <xdr:rowOff>38100</xdr:rowOff>
        </xdr:from>
        <xdr:to>
          <xdr:col>3</xdr:col>
          <xdr:colOff>323850</xdr:colOff>
          <xdr:row>1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</xdr:row>
          <xdr:rowOff>38100</xdr:rowOff>
        </xdr:from>
        <xdr:to>
          <xdr:col>4</xdr:col>
          <xdr:colOff>47625</xdr:colOff>
          <xdr:row>1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38100</xdr:rowOff>
        </xdr:from>
        <xdr:to>
          <xdr:col>1</xdr:col>
          <xdr:colOff>581025</xdr:colOff>
          <xdr:row>1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676275</xdr:colOff>
          <xdr:row>1</xdr:row>
          <xdr:rowOff>38100</xdr:rowOff>
        </xdr:from>
        <xdr:to>
          <xdr:col>3</xdr:col>
          <xdr:colOff>323850</xdr:colOff>
          <xdr:row>1</xdr:row>
          <xdr:rowOff>342900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419100</xdr:colOff>
          <xdr:row>1</xdr:row>
          <xdr:rowOff>38100</xdr:rowOff>
        </xdr:from>
        <xdr:to>
          <xdr:col>4</xdr:col>
          <xdr:colOff>47625</xdr:colOff>
          <xdr:row>1</xdr:row>
          <xdr:rowOff>342900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541605-A9F0-4F23-B53A-CD015595B608}" name="Table2" displayName="Table2" ref="A1:B8" totalsRowShown="0">
  <autoFilter ref="A1:B8" xr:uid="{97541605-A9F0-4F23-B53A-CD015595B608}"/>
  <tableColumns count="2">
    <tableColumn id="1" xr3:uid="{69804234-4FE1-4644-97BA-7E21CEF0DDF7}" name="Título"/>
    <tableColumn id="2" xr3:uid="{246D6DD2-4386-4DFB-A7CC-18BB9B839F4F}" name="Categor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68CFFB-450F-4DC4-B65B-FAEAD6A5879A}" name="TabImportacoes" displayName="TabImportacoes" ref="Q10:T14" totalsRowShown="0">
  <autoFilter ref="Q10:T14" xr:uid="{6D68CFFB-450F-4DC4-B65B-FAEAD6A5879A}"/>
  <tableColumns count="4">
    <tableColumn id="1" xr3:uid="{14F306DE-C60E-44E3-B9C6-A0F6C8C4AB33}" name="Importação"/>
    <tableColumn id="2" xr3:uid="{917CE2E9-975F-41C5-885A-AEE6DB38D9C9}" name="Pasta padrão"/>
    <tableColumn id="3" xr3:uid="{BB695232-98D3-47F6-8DDF-15FBF1518726}" name="Padrão do arquivo"/>
    <tableColumn id="4" xr3:uid="{C06D439B-857F-4469-A975-6936B2ECF321}" name="Ro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3DED-9B07-46B4-9209-66F059216458}">
  <sheetPr codeName="Planilha1"/>
  <dimension ref="A1:L8"/>
  <sheetViews>
    <sheetView tabSelected="1" workbookViewId="0"/>
  </sheetViews>
  <sheetFormatPr defaultRowHeight="15" x14ac:dyDescent="0.25"/>
  <cols>
    <col min="1" max="1" width="10.7109375" customWidth="1"/>
    <col min="2" max="2" width="12.7109375" style="3" customWidth="1"/>
    <col min="3" max="3" width="11.7109375" customWidth="1"/>
    <col min="4" max="5" width="24.7109375" customWidth="1"/>
    <col min="6" max="7" width="16.7109375" customWidth="1"/>
    <col min="8" max="8" width="18.7109375" customWidth="1"/>
    <col min="9" max="9" width="60.7109375" customWidth="1"/>
    <col min="11" max="11" width="28.7109375" customWidth="1"/>
    <col min="12" max="12" width="60.7109375" customWidth="1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K1" s="1" t="s">
        <v>20</v>
      </c>
      <c r="L1" s="4" t="s">
        <v>21</v>
      </c>
    </row>
    <row r="2" spans="1:12" x14ac:dyDescent="0.25">
      <c r="B2" s="3" t="s">
        <v>9</v>
      </c>
      <c r="C2">
        <v>1095736</v>
      </c>
      <c r="D2" t="s">
        <v>10</v>
      </c>
      <c r="E2" t="s">
        <v>10</v>
      </c>
      <c r="F2" t="s">
        <v>11</v>
      </c>
      <c r="G2">
        <v>100</v>
      </c>
      <c r="H2" t="s">
        <v>12</v>
      </c>
      <c r="I2" t="str">
        <f>_xlfn.CONCAT(A2,";",FormatarData(B2),";",C2,";",E2,";",F2,";",H2,";",G2,";",IFERROR(VLOOKUP(D2,Table2[],2,FALSE),""))</f>
        <v>;2026-02-04;1095736;RENDA FIXA MANUAL;A;C;100;15</v>
      </c>
      <c r="K2" s="1" t="s">
        <v>22</v>
      </c>
      <c r="L2" s="4">
        <v>1095736</v>
      </c>
    </row>
    <row r="3" spans="1:12" x14ac:dyDescent="0.25">
      <c r="B3" s="3" t="s">
        <v>9</v>
      </c>
      <c r="C3">
        <v>1095736</v>
      </c>
      <c r="D3" t="s">
        <v>13</v>
      </c>
      <c r="E3" t="s">
        <v>13</v>
      </c>
      <c r="F3" t="s">
        <v>11</v>
      </c>
      <c r="G3">
        <v>200</v>
      </c>
      <c r="H3" t="s">
        <v>12</v>
      </c>
      <c r="I3" t="str">
        <f>_xlfn.CONCAT(A3,";",FormatarData(B3),";",C3,";",E3,";",F3,";",H3,";",G3,";",IFERROR(VLOOKUP(D3,Table2[],2,FALSE),""))</f>
        <v>;2026-02-04;1095736;TED DE CORRETORA;A;C;200;16</v>
      </c>
    </row>
    <row r="4" spans="1:12" x14ac:dyDescent="0.25">
      <c r="B4" s="3" t="s">
        <v>9</v>
      </c>
      <c r="C4">
        <v>1095736</v>
      </c>
      <c r="D4" t="s">
        <v>14</v>
      </c>
      <c r="E4" t="s">
        <v>14</v>
      </c>
      <c r="F4" t="s">
        <v>11</v>
      </c>
      <c r="G4">
        <v>300</v>
      </c>
      <c r="H4" t="s">
        <v>12</v>
      </c>
      <c r="I4" t="str">
        <f>_xlfn.CONCAT(A4,";",FormatarData(B4),";",C4,";",E4,";",F4,";",H4,";",G4,";",IFERROR(VLOOKUP(D4,Table2[],2,FALSE),""))</f>
        <v>;2026-02-04;1095736;EVENTOS CORPORATIVOS;A;C;300;17</v>
      </c>
    </row>
    <row r="5" spans="1:12" x14ac:dyDescent="0.25">
      <c r="B5" s="3" t="s">
        <v>9</v>
      </c>
      <c r="C5">
        <v>1095736</v>
      </c>
      <c r="D5" t="s">
        <v>15</v>
      </c>
      <c r="E5" t="s">
        <v>15</v>
      </c>
      <c r="F5" t="s">
        <v>11</v>
      </c>
      <c r="G5">
        <v>400</v>
      </c>
      <c r="H5" t="s">
        <v>12</v>
      </c>
      <c r="I5" t="str">
        <f>_xlfn.CONCAT(A5,";",FormatarData(B5),";",C5,";",E5,";",F5,";",H5,";",G5,";",IFERROR(VLOOKUP(D5,Table2[],2,FALSE),""))</f>
        <v>;2026-02-04;1095736;CAMBIO BNP;A;C;400;18</v>
      </c>
    </row>
    <row r="6" spans="1:12" x14ac:dyDescent="0.25">
      <c r="B6" s="3" t="s">
        <v>9</v>
      </c>
      <c r="C6">
        <v>1095736</v>
      </c>
      <c r="D6" t="s">
        <v>16</v>
      </c>
      <c r="E6" t="s">
        <v>16</v>
      </c>
      <c r="F6" t="s">
        <v>11</v>
      </c>
      <c r="G6">
        <v>100</v>
      </c>
      <c r="H6" t="s">
        <v>17</v>
      </c>
      <c r="I6" t="str">
        <f>_xlfn.CONCAT(A6,";",FormatarData(B6),";",C6,";",E6,";",F6,";",H6,";",G6,";",IFERROR(VLOOKUP(D6,Table2[],2,FALSE),""))</f>
        <v>;2026-02-04;1095736;CAMBIO TERCEIROS;A;D;100;19</v>
      </c>
    </row>
    <row r="7" spans="1:12" x14ac:dyDescent="0.25">
      <c r="B7" s="3" t="s">
        <v>9</v>
      </c>
      <c r="C7">
        <v>1095736</v>
      </c>
      <c r="D7" t="s">
        <v>18</v>
      </c>
      <c r="E7" t="s">
        <v>18</v>
      </c>
      <c r="F7" t="s">
        <v>11</v>
      </c>
      <c r="G7">
        <v>200</v>
      </c>
      <c r="H7" t="s">
        <v>17</v>
      </c>
      <c r="I7" t="str">
        <f>_xlfn.CONCAT(A7,";",FormatarData(B7),";",C7,";",E7,";",F7,";",H7,";",G7,";",IFERROR(VLOOKUP(D7,Table2[],2,FALSE),""))</f>
        <v>;2026-02-04;1095736;DERIVATIVOS;A;D;200;20</v>
      </c>
    </row>
    <row r="8" spans="1:12" x14ac:dyDescent="0.25">
      <c r="B8" s="3" t="s">
        <v>9</v>
      </c>
      <c r="C8">
        <v>1095736</v>
      </c>
      <c r="D8" t="s">
        <v>19</v>
      </c>
      <c r="E8" t="s">
        <v>19</v>
      </c>
      <c r="F8" t="s">
        <v>11</v>
      </c>
      <c r="G8">
        <v>300</v>
      </c>
      <c r="H8" t="s">
        <v>17</v>
      </c>
      <c r="I8" t="str">
        <f>_xlfn.CONCAT(A8,";",FormatarData(B8),";",C8,";",E8,";",F8,";",H8,";",G8,";",IFERROR(VLOOKUP(D8,Table2[],2,FALSE),""))</f>
        <v>;2026-02-04;1095736;FUNDOS BNP;A;D;300;21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GerarTXT">
                <anchor moveWithCells="1" sizeWithCells="1">
                  <from>
                    <xdr:col>9</xdr:col>
                    <xdr:colOff>600075</xdr:colOff>
                    <xdr:row>3</xdr:row>
                    <xdr:rowOff>0</xdr:rowOff>
                  </from>
                  <to>
                    <xdr:col>10</xdr:col>
                    <xdr:colOff>1200150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786B8-DA95-4BA9-B2B8-CF9BAEF48A61}">
  <sheetPr codeName="Planilha2"/>
  <dimension ref="A1:I14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10.7109375" style="8" customWidth="1"/>
    <col min="2" max="2" width="12.7109375" style="9" customWidth="1"/>
    <col min="3" max="3" width="11.7109375" style="8" customWidth="1"/>
    <col min="4" max="5" width="24.7109375" style="8" customWidth="1"/>
    <col min="6" max="7" width="16.7109375" style="8" customWidth="1"/>
    <col min="8" max="8" width="18.7109375" style="8" customWidth="1"/>
    <col min="9" max="9" width="60.7109375" style="8" customWidth="1"/>
  </cols>
  <sheetData>
    <row r="1" spans="1:9" ht="24" customHeight="1" x14ac:dyDescent="0.3">
      <c r="A1" s="5" t="s">
        <v>13</v>
      </c>
      <c r="B1"/>
      <c r="C1"/>
      <c r="D1"/>
      <c r="E1"/>
      <c r="F1"/>
      <c r="G1"/>
      <c r="H1"/>
      <c r="I1"/>
    </row>
    <row r="2" spans="1:9" ht="30" customHeight="1" x14ac:dyDescent="0.25">
      <c r="A2"/>
      <c r="B2"/>
      <c r="C2"/>
      <c r="D2"/>
      <c r="E2"/>
      <c r="F2"/>
      <c r="G2"/>
      <c r="H2"/>
      <c r="I2"/>
    </row>
    <row r="3" spans="1:9" x14ac:dyDescent="0.25">
      <c r="A3" s="6" t="s">
        <v>39</v>
      </c>
      <c r="B3"/>
      <c r="C3" s="7" t="str">
        <f>IFERROR(VLOOKUP($A$1,TabImportacoes[],2,FALSE),"")</f>
        <v>C:\Users\user\OneDrive\Backup Note\Projetos\Antlia\BNP Cash Control\entrada</v>
      </c>
      <c r="D3"/>
      <c r="E3"/>
      <c r="F3"/>
      <c r="G3"/>
      <c r="H3"/>
      <c r="I3"/>
    </row>
    <row r="4" spans="1:9" x14ac:dyDescent="0.25">
      <c r="A4" s="6" t="s">
        <v>40</v>
      </c>
      <c r="B4"/>
      <c r="C4" s="7" t="s">
        <v>47</v>
      </c>
      <c r="D4"/>
      <c r="E4"/>
      <c r="F4"/>
      <c r="G4"/>
      <c r="H4"/>
      <c r="I4"/>
    </row>
    <row r="5" spans="1:9" ht="6" customHeight="1" x14ac:dyDescent="0.25">
      <c r="A5"/>
      <c r="B5"/>
      <c r="C5"/>
      <c r="D5"/>
      <c r="E5"/>
      <c r="F5"/>
      <c r="G5"/>
      <c r="H5"/>
      <c r="I5"/>
    </row>
    <row r="6" spans="1:9" x14ac:dyDescent="0.2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</row>
    <row r="7" spans="1:9" x14ac:dyDescent="0.25">
      <c r="B7" s="9" t="s">
        <v>44</v>
      </c>
      <c r="C7" s="8">
        <v>1095736</v>
      </c>
      <c r="D7" s="8" t="s">
        <v>13</v>
      </c>
      <c r="E7" s="8" t="s">
        <v>13</v>
      </c>
      <c r="F7" s="8" t="s">
        <v>11</v>
      </c>
      <c r="G7" s="8">
        <v>350718.51</v>
      </c>
      <c r="H7" s="8" t="s">
        <v>12</v>
      </c>
    </row>
    <row r="8" spans="1:9" x14ac:dyDescent="0.25">
      <c r="B8" s="9" t="s">
        <v>44</v>
      </c>
      <c r="C8" s="8">
        <v>1095736</v>
      </c>
      <c r="D8" s="8" t="s">
        <v>13</v>
      </c>
      <c r="E8" s="8" t="s">
        <v>13</v>
      </c>
      <c r="F8" s="8" t="s">
        <v>11</v>
      </c>
      <c r="G8" s="8">
        <v>46712.15</v>
      </c>
      <c r="H8" s="8" t="s">
        <v>12</v>
      </c>
    </row>
    <row r="9" spans="1:9" x14ac:dyDescent="0.25">
      <c r="B9" s="9" t="s">
        <v>44</v>
      </c>
      <c r="C9" s="8">
        <v>1095736</v>
      </c>
      <c r="D9" s="8" t="s">
        <v>13</v>
      </c>
      <c r="E9" s="8" t="s">
        <v>13</v>
      </c>
      <c r="F9" s="8" t="s">
        <v>11</v>
      </c>
      <c r="G9" s="8">
        <v>581822.06999999995</v>
      </c>
      <c r="H9" s="8" t="s">
        <v>17</v>
      </c>
    </row>
    <row r="10" spans="1:9" x14ac:dyDescent="0.25">
      <c r="B10" s="9" t="s">
        <v>44</v>
      </c>
      <c r="C10" s="8">
        <v>1095736</v>
      </c>
      <c r="D10" s="8" t="s">
        <v>13</v>
      </c>
      <c r="E10" s="8" t="s">
        <v>13</v>
      </c>
      <c r="F10" s="8" t="s">
        <v>11</v>
      </c>
      <c r="G10" s="8">
        <v>23511.27</v>
      </c>
      <c r="H10" s="8" t="s">
        <v>12</v>
      </c>
    </row>
    <row r="11" spans="1:9" x14ac:dyDescent="0.25">
      <c r="B11" s="9" t="s">
        <v>44</v>
      </c>
      <c r="C11" s="8">
        <v>1095736</v>
      </c>
      <c r="D11" s="8" t="s">
        <v>13</v>
      </c>
      <c r="E11" s="8" t="s">
        <v>13</v>
      </c>
      <c r="F11" s="8" t="s">
        <v>11</v>
      </c>
      <c r="G11" s="8">
        <v>295320.17</v>
      </c>
      <c r="H11" s="8" t="s">
        <v>17</v>
      </c>
    </row>
    <row r="12" spans="1:9" x14ac:dyDescent="0.25">
      <c r="B12" s="9" t="s">
        <v>44</v>
      </c>
      <c r="C12" s="8">
        <v>1095736</v>
      </c>
      <c r="D12" s="8" t="s">
        <v>13</v>
      </c>
      <c r="E12" s="8" t="s">
        <v>13</v>
      </c>
      <c r="F12" s="8" t="s">
        <v>11</v>
      </c>
      <c r="G12" s="8">
        <v>405401.27</v>
      </c>
      <c r="H12" s="8" t="s">
        <v>17</v>
      </c>
    </row>
    <row r="13" spans="1:9" x14ac:dyDescent="0.25">
      <c r="B13" s="9" t="s">
        <v>44</v>
      </c>
      <c r="C13" s="8">
        <v>1095736</v>
      </c>
      <c r="D13" s="8" t="s">
        <v>13</v>
      </c>
      <c r="E13" s="8" t="s">
        <v>13</v>
      </c>
      <c r="F13" s="8" t="s">
        <v>11</v>
      </c>
      <c r="G13" s="8">
        <v>448063.93</v>
      </c>
      <c r="H13" s="8" t="s">
        <v>12</v>
      </c>
    </row>
    <row r="14" spans="1:9" x14ac:dyDescent="0.25">
      <c r="B14" s="9" t="s">
        <v>44</v>
      </c>
      <c r="C14" s="8">
        <v>1095736</v>
      </c>
      <c r="D14" s="8" t="s">
        <v>13</v>
      </c>
      <c r="E14" s="8" t="s">
        <v>13</v>
      </c>
      <c r="F14" s="8" t="s">
        <v>11</v>
      </c>
      <c r="G14" s="8">
        <v>514670.59</v>
      </c>
      <c r="H14" s="8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Importar">
                <anchor>
                  <from>
                    <xdr:col>0</xdr:col>
                    <xdr:colOff>19050</xdr:colOff>
                    <xdr:row>1</xdr:row>
                    <xdr:rowOff>38100</xdr:rowOff>
                  </from>
                  <to>
                    <xdr:col>1</xdr:col>
                    <xdr:colOff>581025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Limpar">
                <anchor>
                  <from>
                    <xdr:col>1</xdr:col>
                    <xdr:colOff>676275</xdr:colOff>
                    <xdr:row>1</xdr:row>
                    <xdr:rowOff>38100</xdr:rowOff>
                  </from>
                  <to>
                    <xdr:col>3</xdr:col>
                    <xdr:colOff>323850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Exportar">
                <anchor>
                  <from>
                    <xdr:col>3</xdr:col>
                    <xdr:colOff>419100</xdr:colOff>
                    <xdr:row>1</xdr:row>
                    <xdr:rowOff>38100</xdr:rowOff>
                  </from>
                  <to>
                    <xdr:col>4</xdr:col>
                    <xdr:colOff>47625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5CCE-8315-48CF-B566-61DD2B1AAE88}">
  <sheetPr codeName="Planilha3"/>
  <dimension ref="A1:I36"/>
  <sheetViews>
    <sheetView workbookViewId="0">
      <pane ySplit="6" topLeftCell="A7" activePane="bottomLeft" state="frozen"/>
      <selection pane="bottomLeft" activeCell="G9" sqref="G9"/>
    </sheetView>
  </sheetViews>
  <sheetFormatPr defaultRowHeight="15" x14ac:dyDescent="0.25"/>
  <cols>
    <col min="1" max="1" width="10.7109375" style="8" customWidth="1"/>
    <col min="2" max="2" width="12.7109375" style="9" customWidth="1"/>
    <col min="3" max="3" width="11.7109375" style="8" customWidth="1"/>
    <col min="4" max="5" width="24.7109375" style="8" customWidth="1"/>
    <col min="6" max="7" width="16.7109375" style="8" customWidth="1"/>
    <col min="8" max="8" width="18.7109375" style="8" customWidth="1"/>
    <col min="9" max="9" width="60.7109375" style="8" customWidth="1"/>
  </cols>
  <sheetData>
    <row r="1" spans="1:9" ht="24" customHeight="1" x14ac:dyDescent="0.3">
      <c r="A1" s="5" t="s">
        <v>32</v>
      </c>
      <c r="B1"/>
      <c r="C1"/>
      <c r="D1"/>
      <c r="E1"/>
      <c r="F1"/>
      <c r="G1"/>
      <c r="H1"/>
      <c r="I1"/>
    </row>
    <row r="2" spans="1:9" ht="30" customHeight="1" x14ac:dyDescent="0.25">
      <c r="A2"/>
      <c r="B2"/>
      <c r="C2"/>
      <c r="D2"/>
      <c r="E2"/>
      <c r="F2"/>
      <c r="G2"/>
      <c r="H2"/>
      <c r="I2"/>
    </row>
    <row r="3" spans="1:9" x14ac:dyDescent="0.25">
      <c r="A3" s="6" t="s">
        <v>39</v>
      </c>
      <c r="B3"/>
      <c r="C3" s="7" t="str">
        <f>IFERROR(VLOOKUP($A$1,TabImportacoes[],2,FALSE),"")</f>
        <v>C:\Users\user\OneDrive\Backup Note\Projetos\Antlia\BNP Cash Control\entrada</v>
      </c>
      <c r="D3"/>
      <c r="E3"/>
      <c r="F3"/>
      <c r="G3"/>
      <c r="H3"/>
      <c r="I3"/>
    </row>
    <row r="4" spans="1:9" x14ac:dyDescent="0.25">
      <c r="A4" s="6" t="s">
        <v>40</v>
      </c>
      <c r="B4"/>
      <c r="C4" s="7" t="s">
        <v>45</v>
      </c>
      <c r="D4"/>
      <c r="E4"/>
      <c r="F4"/>
      <c r="G4"/>
      <c r="H4"/>
      <c r="I4"/>
    </row>
    <row r="5" spans="1:9" ht="6" customHeight="1" x14ac:dyDescent="0.25">
      <c r="A5"/>
      <c r="B5"/>
      <c r="C5"/>
      <c r="D5"/>
      <c r="E5"/>
      <c r="F5"/>
      <c r="G5"/>
      <c r="H5"/>
      <c r="I5"/>
    </row>
    <row r="6" spans="1:9" x14ac:dyDescent="0.2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</row>
    <row r="7" spans="1:9" x14ac:dyDescent="0.25">
      <c r="B7" s="9" t="s">
        <v>44</v>
      </c>
      <c r="C7" s="8">
        <v>1095736</v>
      </c>
      <c r="D7" s="8" t="s">
        <v>18</v>
      </c>
      <c r="E7" s="8" t="s">
        <v>18</v>
      </c>
      <c r="F7" s="8" t="s">
        <v>11</v>
      </c>
      <c r="G7" s="8">
        <v>44740461.920000002</v>
      </c>
      <c r="H7" s="8" t="s">
        <v>12</v>
      </c>
    </row>
    <row r="8" spans="1:9" x14ac:dyDescent="0.25">
      <c r="A8" s="10"/>
      <c r="B8" s="11" t="s">
        <v>44</v>
      </c>
      <c r="C8" s="10">
        <v>1095736</v>
      </c>
      <c r="D8" s="10" t="s">
        <v>46</v>
      </c>
      <c r="E8" s="10" t="s">
        <v>46</v>
      </c>
      <c r="F8" s="10" t="s">
        <v>11</v>
      </c>
      <c r="G8" s="10">
        <v>37551546.880000003</v>
      </c>
      <c r="H8" s="10" t="s">
        <v>17</v>
      </c>
    </row>
    <row r="9" spans="1:9" x14ac:dyDescent="0.25">
      <c r="A9" s="10"/>
      <c r="B9" s="11" t="s">
        <v>44</v>
      </c>
      <c r="C9" s="10">
        <v>1095736</v>
      </c>
      <c r="D9" s="10" t="s">
        <v>46</v>
      </c>
      <c r="E9" s="10" t="s">
        <v>46</v>
      </c>
      <c r="F9" s="10" t="s">
        <v>11</v>
      </c>
      <c r="G9" s="10">
        <v>30710599.829999998</v>
      </c>
      <c r="H9" s="10" t="s">
        <v>12</v>
      </c>
    </row>
    <row r="10" spans="1:9" x14ac:dyDescent="0.25">
      <c r="B10" s="9" t="s">
        <v>44</v>
      </c>
      <c r="C10" s="8">
        <v>1095736</v>
      </c>
      <c r="D10" s="8" t="s">
        <v>18</v>
      </c>
      <c r="E10" s="8" t="s">
        <v>18</v>
      </c>
      <c r="F10" s="8" t="s">
        <v>11</v>
      </c>
      <c r="G10" s="8">
        <v>40738319.659999996</v>
      </c>
      <c r="H10" s="8" t="s">
        <v>12</v>
      </c>
    </row>
    <row r="11" spans="1:9" x14ac:dyDescent="0.25">
      <c r="A11" s="10"/>
      <c r="B11" s="11" t="s">
        <v>44</v>
      </c>
      <c r="C11" s="10">
        <v>1095736</v>
      </c>
      <c r="D11" s="10" t="s">
        <v>46</v>
      </c>
      <c r="E11" s="10" t="s">
        <v>46</v>
      </c>
      <c r="F11" s="10" t="s">
        <v>11</v>
      </c>
      <c r="G11" s="10">
        <v>19861472.890000001</v>
      </c>
      <c r="H11" s="10" t="s">
        <v>12</v>
      </c>
    </row>
    <row r="12" spans="1:9" x14ac:dyDescent="0.25">
      <c r="A12" s="10"/>
      <c r="B12" s="11" t="s">
        <v>44</v>
      </c>
      <c r="C12" s="10">
        <v>1095736</v>
      </c>
      <c r="D12" s="10" t="s">
        <v>46</v>
      </c>
      <c r="E12" s="10" t="s">
        <v>46</v>
      </c>
      <c r="F12" s="10" t="s">
        <v>11</v>
      </c>
      <c r="G12" s="10">
        <v>49982806.539999999</v>
      </c>
      <c r="H12" s="10" t="s">
        <v>17</v>
      </c>
    </row>
    <row r="13" spans="1:9" x14ac:dyDescent="0.25">
      <c r="A13" s="10"/>
      <c r="B13" s="11" t="s">
        <v>44</v>
      </c>
      <c r="C13" s="10">
        <v>1095736</v>
      </c>
      <c r="D13" s="10" t="s">
        <v>46</v>
      </c>
      <c r="E13" s="10" t="s">
        <v>46</v>
      </c>
      <c r="F13" s="10" t="s">
        <v>11</v>
      </c>
      <c r="G13" s="10">
        <v>4484158.84</v>
      </c>
      <c r="H13" s="10" t="s">
        <v>17</v>
      </c>
    </row>
    <row r="14" spans="1:9" x14ac:dyDescent="0.25">
      <c r="A14" s="10"/>
      <c r="B14" s="11" t="s">
        <v>44</v>
      </c>
      <c r="C14" s="10">
        <v>1095736</v>
      </c>
      <c r="D14" s="10" t="s">
        <v>46</v>
      </c>
      <c r="E14" s="10" t="s">
        <v>46</v>
      </c>
      <c r="F14" s="10" t="s">
        <v>11</v>
      </c>
      <c r="G14" s="10">
        <v>7045276.8499999996</v>
      </c>
      <c r="H14" s="10" t="s">
        <v>17</v>
      </c>
    </row>
    <row r="15" spans="1:9" x14ac:dyDescent="0.25">
      <c r="A15" s="10"/>
      <c r="B15" s="11" t="s">
        <v>44</v>
      </c>
      <c r="C15" s="10">
        <v>1095736</v>
      </c>
      <c r="D15" s="10" t="s">
        <v>46</v>
      </c>
      <c r="E15" s="10" t="s">
        <v>46</v>
      </c>
      <c r="F15" s="10" t="s">
        <v>11</v>
      </c>
      <c r="G15" s="10">
        <v>18177748.079999998</v>
      </c>
      <c r="H15" s="10" t="s">
        <v>17</v>
      </c>
    </row>
    <row r="16" spans="1:9" x14ac:dyDescent="0.25">
      <c r="A16" s="10"/>
      <c r="B16" s="11" t="s">
        <v>44</v>
      </c>
      <c r="C16" s="10">
        <v>1095736</v>
      </c>
      <c r="D16" s="10" t="s">
        <v>46</v>
      </c>
      <c r="E16" s="10" t="s">
        <v>46</v>
      </c>
      <c r="F16" s="10" t="s">
        <v>11</v>
      </c>
      <c r="G16" s="10">
        <v>43361396.909999996</v>
      </c>
      <c r="H16" s="10" t="s">
        <v>17</v>
      </c>
    </row>
    <row r="17" spans="1:8" x14ac:dyDescent="0.25">
      <c r="A17" s="10"/>
      <c r="B17" s="11" t="s">
        <v>44</v>
      </c>
      <c r="C17" s="10">
        <v>1095736</v>
      </c>
      <c r="D17" s="10" t="s">
        <v>46</v>
      </c>
      <c r="E17" s="10" t="s">
        <v>46</v>
      </c>
      <c r="F17" s="10" t="s">
        <v>11</v>
      </c>
      <c r="G17" s="10">
        <v>42224040.960000001</v>
      </c>
      <c r="H17" s="10" t="s">
        <v>17</v>
      </c>
    </row>
    <row r="18" spans="1:8" x14ac:dyDescent="0.25">
      <c r="A18" s="10"/>
      <c r="B18" s="11" t="s">
        <v>44</v>
      </c>
      <c r="C18" s="10">
        <v>1095736</v>
      </c>
      <c r="D18" s="10" t="s">
        <v>46</v>
      </c>
      <c r="E18" s="10" t="s">
        <v>46</v>
      </c>
      <c r="F18" s="10" t="s">
        <v>11</v>
      </c>
      <c r="G18" s="10">
        <v>38291550.329999998</v>
      </c>
      <c r="H18" s="10" t="s">
        <v>12</v>
      </c>
    </row>
    <row r="19" spans="1:8" x14ac:dyDescent="0.25">
      <c r="B19" s="9" t="s">
        <v>44</v>
      </c>
      <c r="C19" s="8">
        <v>1095736</v>
      </c>
      <c r="D19" s="8" t="s">
        <v>18</v>
      </c>
      <c r="E19" s="8" t="s">
        <v>18</v>
      </c>
      <c r="F19" s="8" t="s">
        <v>11</v>
      </c>
      <c r="G19" s="8">
        <v>23502546.079999998</v>
      </c>
      <c r="H19" s="8" t="s">
        <v>17</v>
      </c>
    </row>
    <row r="20" spans="1:8" x14ac:dyDescent="0.25">
      <c r="A20" s="10"/>
      <c r="B20" s="11" t="s">
        <v>44</v>
      </c>
      <c r="C20" s="10">
        <v>1095736</v>
      </c>
      <c r="D20" s="10" t="s">
        <v>46</v>
      </c>
      <c r="E20" s="10" t="s">
        <v>46</v>
      </c>
      <c r="F20" s="10" t="s">
        <v>11</v>
      </c>
      <c r="G20" s="10">
        <v>31333898.699999999</v>
      </c>
      <c r="H20" s="10" t="s">
        <v>12</v>
      </c>
    </row>
    <row r="21" spans="1:8" x14ac:dyDescent="0.25">
      <c r="A21" s="10"/>
      <c r="B21" s="11" t="s">
        <v>44</v>
      </c>
      <c r="C21" s="10">
        <v>1095736</v>
      </c>
      <c r="D21" s="10" t="s">
        <v>46</v>
      </c>
      <c r="E21" s="10" t="s">
        <v>46</v>
      </c>
      <c r="F21" s="10" t="s">
        <v>11</v>
      </c>
      <c r="G21" s="10">
        <v>27990242.859999999</v>
      </c>
      <c r="H21" s="10" t="s">
        <v>17</v>
      </c>
    </row>
    <row r="22" spans="1:8" x14ac:dyDescent="0.25">
      <c r="B22" s="9" t="s">
        <v>44</v>
      </c>
      <c r="C22" s="8">
        <v>1095736</v>
      </c>
      <c r="D22" s="8" t="s">
        <v>16</v>
      </c>
      <c r="E22" s="8" t="s">
        <v>16</v>
      </c>
      <c r="F22" s="8" t="s">
        <v>11</v>
      </c>
      <c r="G22" s="8">
        <v>21653908.510000002</v>
      </c>
      <c r="H22" s="8" t="s">
        <v>17</v>
      </c>
    </row>
    <row r="23" spans="1:8" x14ac:dyDescent="0.25">
      <c r="B23" s="9" t="s">
        <v>44</v>
      </c>
      <c r="C23" s="8">
        <v>1095736</v>
      </c>
      <c r="D23" s="8" t="s">
        <v>16</v>
      </c>
      <c r="E23" s="8" t="s">
        <v>16</v>
      </c>
      <c r="F23" s="8" t="s">
        <v>11</v>
      </c>
      <c r="G23" s="8">
        <v>1656430.08</v>
      </c>
      <c r="H23" s="8" t="s">
        <v>12</v>
      </c>
    </row>
    <row r="24" spans="1:8" x14ac:dyDescent="0.25">
      <c r="A24" s="10"/>
      <c r="B24" s="11" t="s">
        <v>44</v>
      </c>
      <c r="C24" s="10">
        <v>1095736</v>
      </c>
      <c r="D24" s="10" t="s">
        <v>46</v>
      </c>
      <c r="E24" s="10" t="s">
        <v>46</v>
      </c>
      <c r="F24" s="10" t="s">
        <v>11</v>
      </c>
      <c r="G24" s="10">
        <v>17997433.280000001</v>
      </c>
      <c r="H24" s="10" t="s">
        <v>17</v>
      </c>
    </row>
    <row r="25" spans="1:8" x14ac:dyDescent="0.25">
      <c r="B25" s="9" t="s">
        <v>44</v>
      </c>
      <c r="C25" s="8">
        <v>1095736</v>
      </c>
      <c r="D25" s="8" t="s">
        <v>16</v>
      </c>
      <c r="E25" s="8" t="s">
        <v>16</v>
      </c>
      <c r="F25" s="8" t="s">
        <v>11</v>
      </c>
      <c r="G25" s="8">
        <v>40398155.880000003</v>
      </c>
      <c r="H25" s="8" t="s">
        <v>17</v>
      </c>
    </row>
    <row r="26" spans="1:8" x14ac:dyDescent="0.25">
      <c r="A26" s="10"/>
      <c r="B26" s="11" t="s">
        <v>44</v>
      </c>
      <c r="C26" s="10">
        <v>1095736</v>
      </c>
      <c r="D26" s="10" t="s">
        <v>46</v>
      </c>
      <c r="E26" s="10" t="s">
        <v>46</v>
      </c>
      <c r="F26" s="10" t="s">
        <v>11</v>
      </c>
      <c r="G26" s="10">
        <v>45840667.979999997</v>
      </c>
      <c r="H26" s="10" t="s">
        <v>17</v>
      </c>
    </row>
    <row r="27" spans="1:8" x14ac:dyDescent="0.25">
      <c r="B27" s="9" t="s">
        <v>44</v>
      </c>
      <c r="C27" s="8">
        <v>1095736</v>
      </c>
      <c r="D27" s="8" t="s">
        <v>18</v>
      </c>
      <c r="E27" s="8" t="s">
        <v>18</v>
      </c>
      <c r="F27" s="8" t="s">
        <v>11</v>
      </c>
      <c r="G27" s="8">
        <v>48363421.969999999</v>
      </c>
      <c r="H27" s="8" t="s">
        <v>12</v>
      </c>
    </row>
    <row r="28" spans="1:8" x14ac:dyDescent="0.25">
      <c r="A28" s="10"/>
      <c r="B28" s="11" t="s">
        <v>44</v>
      </c>
      <c r="C28" s="10">
        <v>1095736</v>
      </c>
      <c r="D28" s="10" t="s">
        <v>46</v>
      </c>
      <c r="E28" s="10" t="s">
        <v>46</v>
      </c>
      <c r="F28" s="10" t="s">
        <v>11</v>
      </c>
      <c r="G28" s="10">
        <v>45163280.950000003</v>
      </c>
      <c r="H28" s="10" t="s">
        <v>17</v>
      </c>
    </row>
    <row r="29" spans="1:8" x14ac:dyDescent="0.25">
      <c r="A29" s="10"/>
      <c r="B29" s="11" t="s">
        <v>44</v>
      </c>
      <c r="C29" s="10">
        <v>1095736</v>
      </c>
      <c r="D29" s="10" t="s">
        <v>46</v>
      </c>
      <c r="E29" s="10" t="s">
        <v>46</v>
      </c>
      <c r="F29" s="10" t="s">
        <v>11</v>
      </c>
      <c r="G29" s="10">
        <v>7318787.6200000001</v>
      </c>
      <c r="H29" s="10" t="s">
        <v>17</v>
      </c>
    </row>
    <row r="30" spans="1:8" x14ac:dyDescent="0.25">
      <c r="B30" s="9" t="s">
        <v>44</v>
      </c>
      <c r="C30" s="8">
        <v>1095736</v>
      </c>
      <c r="D30" s="8" t="s">
        <v>18</v>
      </c>
      <c r="E30" s="8" t="s">
        <v>18</v>
      </c>
      <c r="F30" s="8" t="s">
        <v>11</v>
      </c>
      <c r="G30" s="8">
        <v>29032418.969999999</v>
      </c>
      <c r="H30" s="8" t="s">
        <v>17</v>
      </c>
    </row>
    <row r="31" spans="1:8" x14ac:dyDescent="0.25">
      <c r="B31" s="9" t="s">
        <v>44</v>
      </c>
      <c r="C31" s="8">
        <v>1095736</v>
      </c>
      <c r="D31" s="8" t="s">
        <v>18</v>
      </c>
      <c r="E31" s="8" t="s">
        <v>18</v>
      </c>
      <c r="F31" s="8" t="s">
        <v>11</v>
      </c>
      <c r="G31" s="8">
        <v>31054112.02</v>
      </c>
      <c r="H31" s="8" t="s">
        <v>12</v>
      </c>
    </row>
    <row r="32" spans="1:8" x14ac:dyDescent="0.25">
      <c r="A32" s="10"/>
      <c r="B32" s="11" t="s">
        <v>44</v>
      </c>
      <c r="C32" s="10">
        <v>1095736</v>
      </c>
      <c r="D32" s="10" t="s">
        <v>46</v>
      </c>
      <c r="E32" s="10" t="s">
        <v>46</v>
      </c>
      <c r="F32" s="10" t="s">
        <v>11</v>
      </c>
      <c r="G32" s="10">
        <v>7738890.4699999997</v>
      </c>
      <c r="H32" s="10" t="s">
        <v>17</v>
      </c>
    </row>
    <row r="33" spans="1:8" x14ac:dyDescent="0.25">
      <c r="A33" s="10"/>
      <c r="B33" s="11" t="s">
        <v>44</v>
      </c>
      <c r="C33" s="10">
        <v>1095736</v>
      </c>
      <c r="D33" s="10" t="s">
        <v>46</v>
      </c>
      <c r="E33" s="10" t="s">
        <v>46</v>
      </c>
      <c r="F33" s="10" t="s">
        <v>11</v>
      </c>
      <c r="G33" s="10">
        <v>27290634.600000001</v>
      </c>
      <c r="H33" s="10" t="s">
        <v>12</v>
      </c>
    </row>
    <row r="34" spans="1:8" x14ac:dyDescent="0.25">
      <c r="A34" s="10"/>
      <c r="B34" s="11" t="s">
        <v>44</v>
      </c>
      <c r="C34" s="10">
        <v>1095736</v>
      </c>
      <c r="D34" s="10" t="s">
        <v>46</v>
      </c>
      <c r="E34" s="10" t="s">
        <v>46</v>
      </c>
      <c r="F34" s="10" t="s">
        <v>11</v>
      </c>
      <c r="G34" s="10">
        <v>4222575.99</v>
      </c>
      <c r="H34" s="10" t="s">
        <v>17</v>
      </c>
    </row>
    <row r="35" spans="1:8" x14ac:dyDescent="0.25">
      <c r="B35" s="9" t="s">
        <v>44</v>
      </c>
      <c r="C35" s="8">
        <v>1095736</v>
      </c>
      <c r="D35" s="8" t="s">
        <v>18</v>
      </c>
      <c r="E35" s="8" t="s">
        <v>18</v>
      </c>
      <c r="F35" s="8" t="s">
        <v>11</v>
      </c>
      <c r="G35" s="8">
        <v>25385586.890000001</v>
      </c>
      <c r="H35" s="8" t="s">
        <v>17</v>
      </c>
    </row>
    <row r="36" spans="1:8" x14ac:dyDescent="0.25">
      <c r="A36" s="10"/>
      <c r="B36" s="11" t="s">
        <v>44</v>
      </c>
      <c r="C36" s="10">
        <v>1095736</v>
      </c>
      <c r="D36" s="10" t="s">
        <v>46</v>
      </c>
      <c r="E36" s="10" t="s">
        <v>46</v>
      </c>
      <c r="F36" s="10" t="s">
        <v>11</v>
      </c>
      <c r="G36" s="10">
        <v>18800933.300000001</v>
      </c>
      <c r="H36" s="10" t="s">
        <v>12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Importar">
                <anchor>
                  <from>
                    <xdr:col>0</xdr:col>
                    <xdr:colOff>19050</xdr:colOff>
                    <xdr:row>1</xdr:row>
                    <xdr:rowOff>38100</xdr:rowOff>
                  </from>
                  <to>
                    <xdr:col>1</xdr:col>
                    <xdr:colOff>581025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Limpar">
                <anchor>
                  <from>
                    <xdr:col>1</xdr:col>
                    <xdr:colOff>676275</xdr:colOff>
                    <xdr:row>1</xdr:row>
                    <xdr:rowOff>38100</xdr:rowOff>
                  </from>
                  <to>
                    <xdr:col>3</xdr:col>
                    <xdr:colOff>323850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Exportar">
                <anchor>
                  <from>
                    <xdr:col>3</xdr:col>
                    <xdr:colOff>419100</xdr:colOff>
                    <xdr:row>1</xdr:row>
                    <xdr:rowOff>38100</xdr:rowOff>
                  </from>
                  <to>
                    <xdr:col>4</xdr:col>
                    <xdr:colOff>47625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4EF78-2F78-4BA2-AC03-93513751BC0A}">
  <sheetPr codeName="Planilha4"/>
  <dimension ref="A1:I31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10.7109375" style="8" customWidth="1"/>
    <col min="2" max="2" width="12.7109375" style="9" customWidth="1"/>
    <col min="3" max="3" width="11.7109375" style="8" customWidth="1"/>
    <col min="4" max="5" width="24.7109375" style="8" customWidth="1"/>
    <col min="6" max="7" width="16.7109375" style="8" customWidth="1"/>
    <col min="8" max="8" width="18.7109375" style="8" customWidth="1"/>
    <col min="9" max="9" width="60.7109375" style="8" customWidth="1"/>
  </cols>
  <sheetData>
    <row r="1" spans="1:9" ht="24" customHeight="1" x14ac:dyDescent="0.3">
      <c r="A1" s="5" t="s">
        <v>15</v>
      </c>
      <c r="B1"/>
      <c r="C1"/>
      <c r="D1"/>
      <c r="E1"/>
      <c r="F1"/>
      <c r="G1"/>
      <c r="H1"/>
      <c r="I1"/>
    </row>
    <row r="2" spans="1:9" ht="30" customHeight="1" x14ac:dyDescent="0.25">
      <c r="A2"/>
      <c r="B2"/>
      <c r="C2"/>
      <c r="D2"/>
      <c r="E2"/>
      <c r="F2"/>
      <c r="G2"/>
      <c r="H2"/>
      <c r="I2"/>
    </row>
    <row r="3" spans="1:9" x14ac:dyDescent="0.25">
      <c r="A3" s="6" t="s">
        <v>39</v>
      </c>
      <c r="B3"/>
      <c r="C3" s="7" t="str">
        <f>IFERROR(VLOOKUP($A$1,TabImportacoes[],2,FALSE),"")</f>
        <v>C:\Users\user\OneDrive\Backup Note\Projetos\Antlia\BNP Cash Control\entrada</v>
      </c>
      <c r="D3"/>
      <c r="E3"/>
      <c r="F3"/>
      <c r="G3"/>
      <c r="H3"/>
      <c r="I3"/>
    </row>
    <row r="4" spans="1:9" x14ac:dyDescent="0.25">
      <c r="A4" s="6" t="s">
        <v>40</v>
      </c>
      <c r="B4"/>
      <c r="C4" s="7" t="s">
        <v>43</v>
      </c>
      <c r="D4"/>
      <c r="E4"/>
      <c r="F4"/>
      <c r="G4"/>
      <c r="H4"/>
      <c r="I4"/>
    </row>
    <row r="5" spans="1:9" ht="6" customHeight="1" x14ac:dyDescent="0.25">
      <c r="A5"/>
      <c r="B5"/>
      <c r="C5"/>
      <c r="D5"/>
      <c r="E5"/>
      <c r="F5"/>
      <c r="G5"/>
      <c r="H5"/>
      <c r="I5"/>
    </row>
    <row r="6" spans="1:9" x14ac:dyDescent="0.2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</row>
    <row r="7" spans="1:9" x14ac:dyDescent="0.25">
      <c r="B7" s="9" t="s">
        <v>44</v>
      </c>
      <c r="C7" s="8">
        <v>1095736</v>
      </c>
      <c r="D7" s="8" t="s">
        <v>15</v>
      </c>
      <c r="E7" s="8" t="s">
        <v>15</v>
      </c>
      <c r="F7" s="8" t="s">
        <v>11</v>
      </c>
      <c r="G7" s="8">
        <v>194266.17</v>
      </c>
      <c r="H7" s="8" t="s">
        <v>17</v>
      </c>
    </row>
    <row r="8" spans="1:9" x14ac:dyDescent="0.25">
      <c r="B8" s="9" t="s">
        <v>44</v>
      </c>
      <c r="C8" s="8">
        <v>1095736</v>
      </c>
      <c r="D8" s="8" t="s">
        <v>15</v>
      </c>
      <c r="E8" s="8" t="s">
        <v>15</v>
      </c>
      <c r="F8" s="8" t="s">
        <v>11</v>
      </c>
      <c r="G8" s="8">
        <v>21829.5</v>
      </c>
      <c r="H8" s="8" t="s">
        <v>12</v>
      </c>
    </row>
    <row r="9" spans="1:9" x14ac:dyDescent="0.25">
      <c r="B9" s="9" t="s">
        <v>44</v>
      </c>
      <c r="C9" s="8">
        <v>1095736</v>
      </c>
      <c r="D9" s="8" t="s">
        <v>15</v>
      </c>
      <c r="E9" s="8" t="s">
        <v>15</v>
      </c>
      <c r="F9" s="8" t="s">
        <v>11</v>
      </c>
      <c r="G9" s="8">
        <v>235065.01</v>
      </c>
      <c r="H9" s="8" t="s">
        <v>17</v>
      </c>
    </row>
    <row r="10" spans="1:9" x14ac:dyDescent="0.25">
      <c r="B10" s="9" t="s">
        <v>44</v>
      </c>
      <c r="C10" s="8">
        <v>1095736</v>
      </c>
      <c r="D10" s="8" t="s">
        <v>15</v>
      </c>
      <c r="E10" s="8" t="s">
        <v>15</v>
      </c>
      <c r="F10" s="8" t="s">
        <v>11</v>
      </c>
      <c r="G10" s="8">
        <v>170374.11</v>
      </c>
      <c r="H10" s="8" t="s">
        <v>17</v>
      </c>
    </row>
    <row r="11" spans="1:9" x14ac:dyDescent="0.25">
      <c r="B11" s="9" t="s">
        <v>44</v>
      </c>
      <c r="C11" s="8">
        <v>1095736</v>
      </c>
      <c r="D11" s="8" t="s">
        <v>15</v>
      </c>
      <c r="E11" s="8" t="s">
        <v>15</v>
      </c>
      <c r="F11" s="8" t="s">
        <v>11</v>
      </c>
      <c r="G11" s="8">
        <v>59030.16</v>
      </c>
      <c r="H11" s="8" t="s">
        <v>17</v>
      </c>
    </row>
    <row r="12" spans="1:9" x14ac:dyDescent="0.25">
      <c r="B12" s="9" t="s">
        <v>44</v>
      </c>
      <c r="C12" s="8">
        <v>1095736</v>
      </c>
      <c r="D12" s="8" t="s">
        <v>15</v>
      </c>
      <c r="E12" s="8" t="s">
        <v>15</v>
      </c>
      <c r="F12" s="8" t="s">
        <v>11</v>
      </c>
      <c r="G12" s="8">
        <v>165738.93</v>
      </c>
      <c r="H12" s="8" t="s">
        <v>17</v>
      </c>
    </row>
    <row r="13" spans="1:9" x14ac:dyDescent="0.25">
      <c r="B13" s="9" t="s">
        <v>44</v>
      </c>
      <c r="C13" s="8">
        <v>1095736</v>
      </c>
      <c r="D13" s="8" t="s">
        <v>15</v>
      </c>
      <c r="E13" s="8" t="s">
        <v>15</v>
      </c>
      <c r="F13" s="8" t="s">
        <v>11</v>
      </c>
      <c r="G13" s="8">
        <v>264018.44</v>
      </c>
      <c r="H13" s="8" t="s">
        <v>12</v>
      </c>
    </row>
    <row r="14" spans="1:9" x14ac:dyDescent="0.25">
      <c r="B14" s="9" t="s">
        <v>44</v>
      </c>
      <c r="C14" s="8">
        <v>1095736</v>
      </c>
      <c r="D14" s="8" t="s">
        <v>15</v>
      </c>
      <c r="E14" s="8" t="s">
        <v>15</v>
      </c>
      <c r="F14" s="8" t="s">
        <v>11</v>
      </c>
      <c r="G14" s="8">
        <v>225657.39</v>
      </c>
      <c r="H14" s="8" t="s">
        <v>17</v>
      </c>
    </row>
    <row r="15" spans="1:9" x14ac:dyDescent="0.25">
      <c r="B15" s="9" t="s">
        <v>44</v>
      </c>
      <c r="C15" s="8">
        <v>1095736</v>
      </c>
      <c r="D15" s="8" t="s">
        <v>15</v>
      </c>
      <c r="E15" s="8" t="s">
        <v>15</v>
      </c>
      <c r="F15" s="8" t="s">
        <v>11</v>
      </c>
      <c r="G15" s="8">
        <v>79344.66</v>
      </c>
      <c r="H15" s="8" t="s">
        <v>17</v>
      </c>
    </row>
    <row r="16" spans="1:9" x14ac:dyDescent="0.25">
      <c r="B16" s="9" t="s">
        <v>44</v>
      </c>
      <c r="C16" s="8">
        <v>1095736</v>
      </c>
      <c r="D16" s="8" t="s">
        <v>15</v>
      </c>
      <c r="E16" s="8" t="s">
        <v>15</v>
      </c>
      <c r="F16" s="8" t="s">
        <v>11</v>
      </c>
      <c r="G16" s="8">
        <v>210676.1</v>
      </c>
      <c r="H16" s="8" t="s">
        <v>12</v>
      </c>
    </row>
    <row r="17" spans="2:8" x14ac:dyDescent="0.25">
      <c r="B17" s="9" t="s">
        <v>44</v>
      </c>
      <c r="C17" s="8">
        <v>1095736</v>
      </c>
      <c r="D17" s="8" t="s">
        <v>15</v>
      </c>
      <c r="E17" s="8" t="s">
        <v>15</v>
      </c>
      <c r="F17" s="8" t="s">
        <v>11</v>
      </c>
      <c r="G17" s="8">
        <v>75013.649999999994</v>
      </c>
      <c r="H17" s="8" t="s">
        <v>12</v>
      </c>
    </row>
    <row r="18" spans="2:8" x14ac:dyDescent="0.25">
      <c r="B18" s="9" t="s">
        <v>44</v>
      </c>
      <c r="C18" s="8">
        <v>1095736</v>
      </c>
      <c r="D18" s="8" t="s">
        <v>15</v>
      </c>
      <c r="E18" s="8" t="s">
        <v>15</v>
      </c>
      <c r="F18" s="8" t="s">
        <v>11</v>
      </c>
      <c r="G18" s="8">
        <v>191512.94</v>
      </c>
      <c r="H18" s="8" t="s">
        <v>12</v>
      </c>
    </row>
    <row r="19" spans="2:8" x14ac:dyDescent="0.25">
      <c r="B19" s="9" t="s">
        <v>44</v>
      </c>
      <c r="C19" s="8">
        <v>1095736</v>
      </c>
      <c r="D19" s="8" t="s">
        <v>15</v>
      </c>
      <c r="E19" s="8" t="s">
        <v>15</v>
      </c>
      <c r="F19" s="8" t="s">
        <v>11</v>
      </c>
      <c r="G19" s="8">
        <v>307896.95</v>
      </c>
      <c r="H19" s="8" t="s">
        <v>17</v>
      </c>
    </row>
    <row r="20" spans="2:8" x14ac:dyDescent="0.25">
      <c r="B20" s="9" t="s">
        <v>44</v>
      </c>
      <c r="C20" s="8">
        <v>1095736</v>
      </c>
      <c r="D20" s="8" t="s">
        <v>15</v>
      </c>
      <c r="E20" s="8" t="s">
        <v>15</v>
      </c>
      <c r="F20" s="8" t="s">
        <v>11</v>
      </c>
      <c r="G20" s="8">
        <v>319059.44</v>
      </c>
      <c r="H20" s="8" t="s">
        <v>12</v>
      </c>
    </row>
    <row r="21" spans="2:8" x14ac:dyDescent="0.25">
      <c r="B21" s="9" t="s">
        <v>44</v>
      </c>
      <c r="C21" s="8">
        <v>1095736</v>
      </c>
      <c r="D21" s="8" t="s">
        <v>15</v>
      </c>
      <c r="E21" s="8" t="s">
        <v>15</v>
      </c>
      <c r="F21" s="8" t="s">
        <v>11</v>
      </c>
      <c r="G21" s="8">
        <v>244933.47</v>
      </c>
      <c r="H21" s="8" t="s">
        <v>17</v>
      </c>
    </row>
    <row r="22" spans="2:8" x14ac:dyDescent="0.25">
      <c r="B22" s="9" t="s">
        <v>44</v>
      </c>
      <c r="C22" s="8">
        <v>1095736</v>
      </c>
      <c r="D22" s="8" t="s">
        <v>15</v>
      </c>
      <c r="E22" s="8" t="s">
        <v>15</v>
      </c>
      <c r="F22" s="8" t="s">
        <v>11</v>
      </c>
      <c r="G22" s="8">
        <v>358311.39</v>
      </c>
      <c r="H22" s="8" t="s">
        <v>12</v>
      </c>
    </row>
    <row r="23" spans="2:8" x14ac:dyDescent="0.25">
      <c r="B23" s="9" t="s">
        <v>44</v>
      </c>
      <c r="C23" s="8">
        <v>1095736</v>
      </c>
      <c r="D23" s="8" t="s">
        <v>15</v>
      </c>
      <c r="E23" s="8" t="s">
        <v>15</v>
      </c>
      <c r="F23" s="8" t="s">
        <v>11</v>
      </c>
      <c r="G23" s="8">
        <v>178989.98</v>
      </c>
      <c r="H23" s="8" t="s">
        <v>17</v>
      </c>
    </row>
    <row r="24" spans="2:8" x14ac:dyDescent="0.25">
      <c r="B24" s="9" t="s">
        <v>44</v>
      </c>
      <c r="C24" s="8">
        <v>1095736</v>
      </c>
      <c r="D24" s="8" t="s">
        <v>15</v>
      </c>
      <c r="E24" s="8" t="s">
        <v>15</v>
      </c>
      <c r="F24" s="8" t="s">
        <v>11</v>
      </c>
      <c r="G24" s="8">
        <v>223898.07</v>
      </c>
      <c r="H24" s="8" t="s">
        <v>17</v>
      </c>
    </row>
    <row r="25" spans="2:8" x14ac:dyDescent="0.25">
      <c r="B25" s="9" t="s">
        <v>44</v>
      </c>
      <c r="C25" s="8">
        <v>1095736</v>
      </c>
      <c r="D25" s="8" t="s">
        <v>15</v>
      </c>
      <c r="E25" s="8" t="s">
        <v>15</v>
      </c>
      <c r="F25" s="8" t="s">
        <v>11</v>
      </c>
      <c r="G25" s="8">
        <v>238274.46</v>
      </c>
      <c r="H25" s="8" t="s">
        <v>17</v>
      </c>
    </row>
    <row r="26" spans="2:8" x14ac:dyDescent="0.25">
      <c r="B26" s="9" t="s">
        <v>44</v>
      </c>
      <c r="C26" s="8">
        <v>1095736</v>
      </c>
      <c r="D26" s="8" t="s">
        <v>15</v>
      </c>
      <c r="E26" s="8" t="s">
        <v>15</v>
      </c>
      <c r="F26" s="8" t="s">
        <v>11</v>
      </c>
      <c r="G26" s="8">
        <v>40940.85</v>
      </c>
      <c r="H26" s="8" t="s">
        <v>12</v>
      </c>
    </row>
    <row r="27" spans="2:8" x14ac:dyDescent="0.25">
      <c r="B27" s="9" t="s">
        <v>44</v>
      </c>
      <c r="C27" s="8">
        <v>1095736</v>
      </c>
      <c r="D27" s="8" t="s">
        <v>15</v>
      </c>
      <c r="E27" s="8" t="s">
        <v>15</v>
      </c>
      <c r="F27" s="8" t="s">
        <v>11</v>
      </c>
      <c r="G27" s="8">
        <v>248611.02</v>
      </c>
      <c r="H27" s="8" t="s">
        <v>12</v>
      </c>
    </row>
    <row r="28" spans="2:8" x14ac:dyDescent="0.25">
      <c r="B28" s="9" t="s">
        <v>44</v>
      </c>
      <c r="C28" s="8">
        <v>1095736</v>
      </c>
      <c r="D28" s="8" t="s">
        <v>15</v>
      </c>
      <c r="E28" s="8" t="s">
        <v>15</v>
      </c>
      <c r="F28" s="8" t="s">
        <v>11</v>
      </c>
      <c r="G28" s="8">
        <v>234598.15</v>
      </c>
      <c r="H28" s="8" t="s">
        <v>17</v>
      </c>
    </row>
    <row r="29" spans="2:8" x14ac:dyDescent="0.25">
      <c r="B29" s="9" t="s">
        <v>44</v>
      </c>
      <c r="C29" s="8">
        <v>1095736</v>
      </c>
      <c r="D29" s="8" t="s">
        <v>15</v>
      </c>
      <c r="E29" s="8" t="s">
        <v>15</v>
      </c>
      <c r="F29" s="8" t="s">
        <v>11</v>
      </c>
      <c r="G29" s="8">
        <v>117248.98</v>
      </c>
      <c r="H29" s="8" t="s">
        <v>17</v>
      </c>
    </row>
    <row r="30" spans="2:8" x14ac:dyDescent="0.25">
      <c r="B30" s="9" t="s">
        <v>44</v>
      </c>
      <c r="C30" s="8">
        <v>1095736</v>
      </c>
      <c r="D30" s="8" t="s">
        <v>15</v>
      </c>
      <c r="E30" s="8" t="s">
        <v>15</v>
      </c>
      <c r="F30" s="8" t="s">
        <v>11</v>
      </c>
      <c r="G30" s="8">
        <v>68425.350000000006</v>
      </c>
      <c r="H30" s="8" t="s">
        <v>12</v>
      </c>
    </row>
    <row r="31" spans="2:8" x14ac:dyDescent="0.25">
      <c r="B31" s="9" t="s">
        <v>44</v>
      </c>
      <c r="C31" s="8">
        <v>1095736</v>
      </c>
      <c r="D31" s="8" t="s">
        <v>15</v>
      </c>
      <c r="E31" s="8" t="s">
        <v>15</v>
      </c>
      <c r="F31" s="8" t="s">
        <v>11</v>
      </c>
      <c r="G31" s="8">
        <v>149546.79999999999</v>
      </c>
      <c r="H31" s="8" t="s">
        <v>12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Importar">
                <anchor>
                  <from>
                    <xdr:col>0</xdr:col>
                    <xdr:colOff>19050</xdr:colOff>
                    <xdr:row>1</xdr:row>
                    <xdr:rowOff>38100</xdr:rowOff>
                  </from>
                  <to>
                    <xdr:col>1</xdr:col>
                    <xdr:colOff>581025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Limpar">
                <anchor>
                  <from>
                    <xdr:col>1</xdr:col>
                    <xdr:colOff>676275</xdr:colOff>
                    <xdr:row>1</xdr:row>
                    <xdr:rowOff>38100</xdr:rowOff>
                  </from>
                  <to>
                    <xdr:col>3</xdr:col>
                    <xdr:colOff>323850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Exportar">
                <anchor>
                  <from>
                    <xdr:col>3</xdr:col>
                    <xdr:colOff>419100</xdr:colOff>
                    <xdr:row>1</xdr:row>
                    <xdr:rowOff>38100</xdr:rowOff>
                  </from>
                  <to>
                    <xdr:col>4</xdr:col>
                    <xdr:colOff>47625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2FACB-797B-4162-A105-7269A118F180}">
  <sheetPr codeName="Planilha5"/>
  <dimension ref="A1:I2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10.7109375" style="8" customWidth="1"/>
    <col min="2" max="2" width="12.7109375" style="9" customWidth="1"/>
    <col min="3" max="3" width="11.7109375" style="8" customWidth="1"/>
    <col min="4" max="5" width="24.7109375" style="8" customWidth="1"/>
    <col min="6" max="7" width="16.7109375" style="8" customWidth="1"/>
    <col min="8" max="8" width="18.7109375" style="8" customWidth="1"/>
    <col min="9" max="9" width="60.7109375" style="8" customWidth="1"/>
  </cols>
  <sheetData>
    <row r="1" spans="1:9" ht="24" customHeight="1" x14ac:dyDescent="0.3">
      <c r="A1" s="5" t="s">
        <v>14</v>
      </c>
      <c r="B1"/>
      <c r="C1"/>
      <c r="D1"/>
      <c r="E1"/>
      <c r="F1"/>
      <c r="G1"/>
      <c r="H1"/>
      <c r="I1"/>
    </row>
    <row r="2" spans="1:9" ht="30" customHeight="1" x14ac:dyDescent="0.25">
      <c r="A2"/>
      <c r="B2"/>
      <c r="C2"/>
      <c r="D2"/>
      <c r="E2"/>
      <c r="F2"/>
      <c r="G2"/>
      <c r="H2"/>
      <c r="I2"/>
    </row>
    <row r="3" spans="1:9" x14ac:dyDescent="0.25">
      <c r="A3" s="6" t="s">
        <v>39</v>
      </c>
      <c r="B3"/>
      <c r="C3" s="7" t="str">
        <f>IFERROR(VLOOKUP($A$1,TabImportacoes[],2,FALSE),"")</f>
        <v>C:\Users\user\OneDrive\Backup Note\Projetos\Antlia\BNP Cash Control\entrada</v>
      </c>
      <c r="D3"/>
      <c r="E3"/>
      <c r="F3"/>
      <c r="G3"/>
      <c r="H3"/>
      <c r="I3"/>
    </row>
    <row r="4" spans="1:9" x14ac:dyDescent="0.25">
      <c r="A4" s="6" t="s">
        <v>40</v>
      </c>
      <c r="B4"/>
      <c r="C4" s="7" t="s">
        <v>41</v>
      </c>
      <c r="D4"/>
      <c r="E4"/>
      <c r="F4"/>
      <c r="G4"/>
      <c r="H4"/>
      <c r="I4"/>
    </row>
    <row r="5" spans="1:9" ht="6" customHeight="1" x14ac:dyDescent="0.25">
      <c r="A5"/>
      <c r="B5"/>
      <c r="C5"/>
      <c r="D5"/>
      <c r="E5"/>
      <c r="F5"/>
      <c r="G5"/>
      <c r="H5"/>
      <c r="I5"/>
    </row>
    <row r="6" spans="1:9" x14ac:dyDescent="0.2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</row>
    <row r="7" spans="1:9" x14ac:dyDescent="0.25">
      <c r="B7" s="9" t="s">
        <v>42</v>
      </c>
      <c r="C7" s="8">
        <v>1095736</v>
      </c>
      <c r="D7" s="8" t="s">
        <v>14</v>
      </c>
      <c r="E7" s="8" t="s">
        <v>14</v>
      </c>
      <c r="F7" s="8" t="s">
        <v>11</v>
      </c>
      <c r="G7" s="8">
        <v>337601.8</v>
      </c>
      <c r="H7" s="8" t="s">
        <v>12</v>
      </c>
    </row>
    <row r="8" spans="1:9" x14ac:dyDescent="0.25">
      <c r="B8" s="9" t="s">
        <v>42</v>
      </c>
      <c r="C8" s="8">
        <v>1095736</v>
      </c>
      <c r="D8" s="8" t="s">
        <v>14</v>
      </c>
      <c r="E8" s="8" t="s">
        <v>14</v>
      </c>
      <c r="F8" s="8" t="s">
        <v>11</v>
      </c>
      <c r="G8" s="8">
        <v>2817515.63</v>
      </c>
      <c r="H8" s="8" t="s">
        <v>12</v>
      </c>
    </row>
    <row r="9" spans="1:9" x14ac:dyDescent="0.25">
      <c r="B9" s="9" t="s">
        <v>42</v>
      </c>
      <c r="C9" s="8">
        <v>1095736</v>
      </c>
      <c r="D9" s="8" t="s">
        <v>14</v>
      </c>
      <c r="E9" s="8" t="s">
        <v>14</v>
      </c>
      <c r="F9" s="8" t="s">
        <v>11</v>
      </c>
      <c r="G9" s="8">
        <v>2068527.13</v>
      </c>
      <c r="H9" s="8" t="s">
        <v>12</v>
      </c>
    </row>
    <row r="10" spans="1:9" x14ac:dyDescent="0.25">
      <c r="B10" s="9" t="s">
        <v>42</v>
      </c>
      <c r="C10" s="8">
        <v>1095736</v>
      </c>
      <c r="D10" s="8" t="s">
        <v>14</v>
      </c>
      <c r="E10" s="8" t="s">
        <v>14</v>
      </c>
      <c r="F10" s="8" t="s">
        <v>11</v>
      </c>
      <c r="G10" s="8">
        <v>2049633.72</v>
      </c>
      <c r="H10" s="8" t="s">
        <v>12</v>
      </c>
    </row>
    <row r="11" spans="1:9" x14ac:dyDescent="0.25">
      <c r="B11" s="9" t="s">
        <v>42</v>
      </c>
      <c r="C11" s="8">
        <v>1095736</v>
      </c>
      <c r="D11" s="8" t="s">
        <v>14</v>
      </c>
      <c r="E11" s="8" t="s">
        <v>14</v>
      </c>
      <c r="F11" s="8" t="s">
        <v>11</v>
      </c>
      <c r="G11" s="8">
        <v>1209950.26</v>
      </c>
      <c r="H11" s="8" t="s">
        <v>12</v>
      </c>
    </row>
    <row r="12" spans="1:9" x14ac:dyDescent="0.25">
      <c r="B12" s="9" t="s">
        <v>42</v>
      </c>
      <c r="C12" s="8">
        <v>1095736</v>
      </c>
      <c r="D12" s="8" t="s">
        <v>14</v>
      </c>
      <c r="E12" s="8" t="s">
        <v>14</v>
      </c>
      <c r="F12" s="8" t="s">
        <v>11</v>
      </c>
      <c r="G12" s="8">
        <v>1567713.21</v>
      </c>
      <c r="H12" s="8" t="s">
        <v>12</v>
      </c>
    </row>
    <row r="13" spans="1:9" x14ac:dyDescent="0.25">
      <c r="B13" s="9" t="s">
        <v>42</v>
      </c>
      <c r="C13" s="8">
        <v>1095736</v>
      </c>
      <c r="D13" s="8" t="s">
        <v>14</v>
      </c>
      <c r="E13" s="8" t="s">
        <v>14</v>
      </c>
      <c r="F13" s="8" t="s">
        <v>11</v>
      </c>
      <c r="G13" s="8">
        <v>47944.7</v>
      </c>
      <c r="H13" s="8" t="s">
        <v>12</v>
      </c>
    </row>
    <row r="14" spans="1:9" x14ac:dyDescent="0.25">
      <c r="B14" s="9" t="s">
        <v>42</v>
      </c>
      <c r="C14" s="8">
        <v>1095736</v>
      </c>
      <c r="D14" s="8" t="s">
        <v>14</v>
      </c>
      <c r="E14" s="8" t="s">
        <v>14</v>
      </c>
      <c r="F14" s="8" t="s">
        <v>11</v>
      </c>
      <c r="G14" s="8">
        <v>1870010.06</v>
      </c>
      <c r="H14" s="8" t="s">
        <v>12</v>
      </c>
    </row>
    <row r="15" spans="1:9" x14ac:dyDescent="0.25">
      <c r="B15" s="9" t="s">
        <v>42</v>
      </c>
      <c r="C15" s="8">
        <v>1095736</v>
      </c>
      <c r="D15" s="8" t="s">
        <v>14</v>
      </c>
      <c r="E15" s="8" t="s">
        <v>14</v>
      </c>
      <c r="F15" s="8" t="s">
        <v>11</v>
      </c>
      <c r="G15" s="8">
        <v>1548347.79</v>
      </c>
      <c r="H15" s="8" t="s">
        <v>12</v>
      </c>
    </row>
    <row r="16" spans="1:9" x14ac:dyDescent="0.25">
      <c r="B16" s="9" t="s">
        <v>42</v>
      </c>
      <c r="C16" s="8">
        <v>1095736</v>
      </c>
      <c r="D16" s="8" t="s">
        <v>14</v>
      </c>
      <c r="E16" s="8" t="s">
        <v>14</v>
      </c>
      <c r="F16" s="8" t="s">
        <v>11</v>
      </c>
      <c r="G16" s="8">
        <v>1326148.94</v>
      </c>
      <c r="H16" s="8" t="s">
        <v>12</v>
      </c>
    </row>
    <row r="17" spans="2:8" x14ac:dyDescent="0.25">
      <c r="B17" s="9" t="s">
        <v>42</v>
      </c>
      <c r="C17" s="8">
        <v>1095736</v>
      </c>
      <c r="D17" s="8" t="s">
        <v>14</v>
      </c>
      <c r="E17" s="8" t="s">
        <v>14</v>
      </c>
      <c r="F17" s="8" t="s">
        <v>11</v>
      </c>
      <c r="G17" s="8">
        <v>1185443.7</v>
      </c>
      <c r="H17" s="8" t="s">
        <v>17</v>
      </c>
    </row>
    <row r="18" spans="2:8" x14ac:dyDescent="0.25">
      <c r="B18" s="9" t="s">
        <v>42</v>
      </c>
      <c r="C18" s="8">
        <v>1095736</v>
      </c>
      <c r="D18" s="8" t="s">
        <v>14</v>
      </c>
      <c r="E18" s="8" t="s">
        <v>14</v>
      </c>
      <c r="F18" s="8" t="s">
        <v>11</v>
      </c>
      <c r="G18" s="8">
        <v>1626517.02</v>
      </c>
      <c r="H18" s="8" t="s">
        <v>12</v>
      </c>
    </row>
    <row r="19" spans="2:8" x14ac:dyDescent="0.25">
      <c r="B19" s="9" t="s">
        <v>42</v>
      </c>
      <c r="C19" s="8">
        <v>1095736</v>
      </c>
      <c r="D19" s="8" t="s">
        <v>14</v>
      </c>
      <c r="E19" s="8" t="s">
        <v>14</v>
      </c>
      <c r="F19" s="8" t="s">
        <v>11</v>
      </c>
      <c r="G19" s="8">
        <v>3033902.4</v>
      </c>
      <c r="H19" s="8" t="s">
        <v>12</v>
      </c>
    </row>
    <row r="20" spans="2:8" x14ac:dyDescent="0.25">
      <c r="B20" s="9" t="s">
        <v>42</v>
      </c>
      <c r="C20" s="8">
        <v>1095736</v>
      </c>
      <c r="D20" s="8" t="s">
        <v>14</v>
      </c>
      <c r="E20" s="8" t="s">
        <v>14</v>
      </c>
      <c r="F20" s="8" t="s">
        <v>11</v>
      </c>
      <c r="G20" s="8">
        <v>878511.21</v>
      </c>
      <c r="H20" s="8" t="s">
        <v>12</v>
      </c>
    </row>
    <row r="21" spans="2:8" x14ac:dyDescent="0.25">
      <c r="B21" s="9" t="s">
        <v>42</v>
      </c>
      <c r="C21" s="8">
        <v>1095736</v>
      </c>
      <c r="D21" s="8" t="s">
        <v>14</v>
      </c>
      <c r="E21" s="8" t="s">
        <v>14</v>
      </c>
      <c r="F21" s="8" t="s">
        <v>11</v>
      </c>
      <c r="G21" s="8">
        <v>1818607.21</v>
      </c>
      <c r="H21" s="8" t="s">
        <v>12</v>
      </c>
    </row>
    <row r="22" spans="2:8" x14ac:dyDescent="0.25">
      <c r="B22" s="9" t="s">
        <v>42</v>
      </c>
      <c r="C22" s="8">
        <v>1095736</v>
      </c>
      <c r="D22" s="8" t="s">
        <v>14</v>
      </c>
      <c r="E22" s="8" t="s">
        <v>14</v>
      </c>
      <c r="F22" s="8" t="s">
        <v>11</v>
      </c>
      <c r="G22" s="8">
        <v>3105176.94</v>
      </c>
      <c r="H22" s="8" t="s">
        <v>17</v>
      </c>
    </row>
    <row r="23" spans="2:8" x14ac:dyDescent="0.25">
      <c r="B23" s="9" t="s">
        <v>42</v>
      </c>
      <c r="C23" s="8">
        <v>1095736</v>
      </c>
      <c r="D23" s="8" t="s">
        <v>14</v>
      </c>
      <c r="E23" s="8" t="s">
        <v>14</v>
      </c>
      <c r="F23" s="8" t="s">
        <v>11</v>
      </c>
      <c r="G23" s="8">
        <v>681023.91</v>
      </c>
      <c r="H23" s="8" t="s">
        <v>12</v>
      </c>
    </row>
    <row r="24" spans="2:8" x14ac:dyDescent="0.25">
      <c r="B24" s="9" t="s">
        <v>42</v>
      </c>
      <c r="C24" s="8">
        <v>1095736</v>
      </c>
      <c r="D24" s="8" t="s">
        <v>14</v>
      </c>
      <c r="E24" s="8" t="s">
        <v>14</v>
      </c>
      <c r="F24" s="8" t="s">
        <v>11</v>
      </c>
      <c r="G24" s="8">
        <v>375904.09</v>
      </c>
      <c r="H24" s="8" t="s">
        <v>12</v>
      </c>
    </row>
    <row r="25" spans="2:8" x14ac:dyDescent="0.25">
      <c r="B25" s="9" t="s">
        <v>42</v>
      </c>
      <c r="C25" s="8">
        <v>1095736</v>
      </c>
      <c r="D25" s="8" t="s">
        <v>14</v>
      </c>
      <c r="E25" s="8" t="s">
        <v>14</v>
      </c>
      <c r="F25" s="8" t="s">
        <v>11</v>
      </c>
      <c r="G25" s="8">
        <v>835727.43</v>
      </c>
      <c r="H25" s="8" t="s">
        <v>12</v>
      </c>
    </row>
    <row r="26" spans="2:8" x14ac:dyDescent="0.25">
      <c r="B26" s="9" t="s">
        <v>42</v>
      </c>
      <c r="C26" s="8">
        <v>1095736</v>
      </c>
      <c r="D26" s="8" t="s">
        <v>14</v>
      </c>
      <c r="E26" s="8" t="s">
        <v>14</v>
      </c>
      <c r="F26" s="8" t="s">
        <v>11</v>
      </c>
      <c r="G26" s="8">
        <v>655027.93999999994</v>
      </c>
      <c r="H26" s="8" t="s">
        <v>12</v>
      </c>
    </row>
    <row r="27" spans="2:8" x14ac:dyDescent="0.25">
      <c r="B27" s="9" t="s">
        <v>42</v>
      </c>
      <c r="C27" s="8">
        <v>1095736</v>
      </c>
      <c r="D27" s="8" t="s">
        <v>14</v>
      </c>
      <c r="E27" s="8" t="s">
        <v>14</v>
      </c>
      <c r="F27" s="8" t="s">
        <v>11</v>
      </c>
      <c r="G27" s="8">
        <v>1391281.18</v>
      </c>
      <c r="H27" s="8" t="s">
        <v>12</v>
      </c>
    </row>
    <row r="28" spans="2:8" x14ac:dyDescent="0.25">
      <c r="B28" s="9" t="s">
        <v>42</v>
      </c>
      <c r="C28" s="8">
        <v>1095736</v>
      </c>
      <c r="D28" s="8" t="s">
        <v>14</v>
      </c>
      <c r="E28" s="8" t="s">
        <v>14</v>
      </c>
      <c r="F28" s="8" t="s">
        <v>11</v>
      </c>
      <c r="G28" s="8">
        <v>769409.42</v>
      </c>
      <c r="H28" s="8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Importar">
                <anchor>
                  <from>
                    <xdr:col>0</xdr:col>
                    <xdr:colOff>19050</xdr:colOff>
                    <xdr:row>1</xdr:row>
                    <xdr:rowOff>38100</xdr:rowOff>
                  </from>
                  <to>
                    <xdr:col>1</xdr:col>
                    <xdr:colOff>581025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Limpar">
                <anchor>
                  <from>
                    <xdr:col>1</xdr:col>
                    <xdr:colOff>676275</xdr:colOff>
                    <xdr:row>1</xdr:row>
                    <xdr:rowOff>38100</xdr:rowOff>
                  </from>
                  <to>
                    <xdr:col>3</xdr:col>
                    <xdr:colOff>323850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Exportar">
                <anchor>
                  <from>
                    <xdr:col>3</xdr:col>
                    <xdr:colOff>419100</xdr:colOff>
                    <xdr:row>1</xdr:row>
                    <xdr:rowOff>38100</xdr:rowOff>
                  </from>
                  <to>
                    <xdr:col>4</xdr:col>
                    <xdr:colOff>47625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352C1-6441-4F3B-9901-36643F7BA910}">
  <sheetPr codeName="Planilha6"/>
  <dimension ref="A1:T14"/>
  <sheetViews>
    <sheetView workbookViewId="0"/>
  </sheetViews>
  <sheetFormatPr defaultRowHeight="15" x14ac:dyDescent="0.25"/>
  <cols>
    <col min="1" max="1" width="26.7109375" customWidth="1"/>
    <col min="2" max="2" width="11.85546875" customWidth="1"/>
    <col min="8" max="14" width="22.7109375" customWidth="1"/>
    <col min="17" max="17" width="24.7109375" customWidth="1"/>
    <col min="18" max="18" width="60.7109375" customWidth="1"/>
    <col min="19" max="19" width="34.7109375" customWidth="1"/>
  </cols>
  <sheetData>
    <row r="1" spans="1:20" x14ac:dyDescent="0.25">
      <c r="A1" t="s">
        <v>23</v>
      </c>
      <c r="B1" t="s">
        <v>3</v>
      </c>
      <c r="H1" t="s">
        <v>10</v>
      </c>
      <c r="I1" t="s">
        <v>13</v>
      </c>
      <c r="J1" t="s">
        <v>14</v>
      </c>
      <c r="K1" t="s">
        <v>15</v>
      </c>
      <c r="L1" t="s">
        <v>16</v>
      </c>
      <c r="M1" t="s">
        <v>18</v>
      </c>
      <c r="N1" t="s">
        <v>19</v>
      </c>
    </row>
    <row r="2" spans="1:20" x14ac:dyDescent="0.25">
      <c r="A2" t="s">
        <v>10</v>
      </c>
      <c r="B2">
        <v>15</v>
      </c>
      <c r="H2" t="s">
        <v>10</v>
      </c>
      <c r="I2" t="s">
        <v>13</v>
      </c>
      <c r="J2" t="s">
        <v>14</v>
      </c>
      <c r="K2" t="s">
        <v>15</v>
      </c>
      <c r="L2" t="s">
        <v>16</v>
      </c>
      <c r="M2" t="s">
        <v>18</v>
      </c>
      <c r="N2" t="s">
        <v>19</v>
      </c>
    </row>
    <row r="3" spans="1:20" x14ac:dyDescent="0.25">
      <c r="A3" t="s">
        <v>13</v>
      </c>
      <c r="B3">
        <v>16</v>
      </c>
    </row>
    <row r="4" spans="1:20" x14ac:dyDescent="0.25">
      <c r="A4" t="s">
        <v>14</v>
      </c>
      <c r="B4">
        <v>17</v>
      </c>
      <c r="D4" t="s">
        <v>24</v>
      </c>
      <c r="E4" t="str">
        <f ca="1">YEAR(TODAY())*10000+MONTH(TODAY())*100+DAY(TODAY())&amp;".csv"</f>
        <v>20261011.csv</v>
      </c>
    </row>
    <row r="5" spans="1:20" x14ac:dyDescent="0.25">
      <c r="A5" t="s">
        <v>15</v>
      </c>
      <c r="B5">
        <v>18</v>
      </c>
    </row>
    <row r="6" spans="1:20" x14ac:dyDescent="0.25">
      <c r="A6" t="s">
        <v>16</v>
      </c>
      <c r="B6">
        <v>19</v>
      </c>
    </row>
    <row r="7" spans="1:20" x14ac:dyDescent="0.25">
      <c r="A7" t="s">
        <v>18</v>
      </c>
      <c r="B7">
        <v>20</v>
      </c>
    </row>
    <row r="8" spans="1:20" x14ac:dyDescent="0.25">
      <c r="A8" t="s">
        <v>19</v>
      </c>
      <c r="B8">
        <v>21</v>
      </c>
    </row>
    <row r="10" spans="1:20" x14ac:dyDescent="0.25">
      <c r="Q10" t="s">
        <v>25</v>
      </c>
      <c r="R10" t="s">
        <v>26</v>
      </c>
      <c r="S10" t="s">
        <v>27</v>
      </c>
      <c r="T10" t="s">
        <v>28</v>
      </c>
    </row>
    <row r="11" spans="1:20" x14ac:dyDescent="0.25">
      <c r="Q11" t="s">
        <v>13</v>
      </c>
      <c r="R11" t="s">
        <v>29</v>
      </c>
      <c r="S11" t="s">
        <v>30</v>
      </c>
      <c r="T11" t="s">
        <v>31</v>
      </c>
    </row>
    <row r="12" spans="1:20" x14ac:dyDescent="0.25">
      <c r="Q12" t="s">
        <v>32</v>
      </c>
      <c r="R12" t="s">
        <v>29</v>
      </c>
      <c r="S12" t="s">
        <v>33</v>
      </c>
      <c r="T12" t="s">
        <v>34</v>
      </c>
    </row>
    <row r="13" spans="1:20" x14ac:dyDescent="0.25">
      <c r="Q13" t="s">
        <v>15</v>
      </c>
      <c r="R13" t="s">
        <v>29</v>
      </c>
      <c r="S13" t="s">
        <v>35</v>
      </c>
      <c r="T13" t="s">
        <v>36</v>
      </c>
    </row>
    <row r="14" spans="1:20" x14ac:dyDescent="0.25">
      <c r="Q14" t="s">
        <v>14</v>
      </c>
      <c r="R14" t="s">
        <v>29</v>
      </c>
      <c r="S14" t="s">
        <v>37</v>
      </c>
      <c r="T14" t="s">
        <v>38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Geral</vt:lpstr>
      <vt:lpstr>TED DE CORRETORA</vt:lpstr>
      <vt:lpstr>ACCOUNT MANAGEMENT</vt:lpstr>
      <vt:lpstr>CAMBIO BNP</vt:lpstr>
      <vt:lpstr>EVENTOS CORPORATIVOS</vt:lpstr>
      <vt:lpstr>Categorias e Sub</vt:lpstr>
      <vt:lpstr>Conta_DTVM</vt:lpstr>
      <vt:lpstr>Pasta_Saida</vt:lpstr>
      <vt:lpstr>Título_saída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Caracelli Diniz</dc:creator>
  <cp:lastModifiedBy>Nelson Caracelli Diniz</cp:lastModifiedBy>
  <dcterms:created xsi:type="dcterms:W3CDTF">2026-10-11T11:40:59Z</dcterms:created>
  <dcterms:modified xsi:type="dcterms:W3CDTF">2026-10-11T11:46:05Z</dcterms:modified>
</cp:coreProperties>
</file>